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ocumenttasks/documenttask1.xml" ContentType="application/vnd.ms-excel.documenttask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11/relationships/webextensiontaskpanes" Target="xl/webextensions/taskpanes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2"/>
  <workbookPr/>
  <mc:AlternateContent xmlns:mc="http://schemas.openxmlformats.org/markup-compatibility/2006">
    <mc:Choice Requires="x15">
      <x15ac:absPath xmlns:x15ac="http://schemas.microsoft.com/office/spreadsheetml/2010/11/ac" url="/Users/sgrant/Downloads/"/>
    </mc:Choice>
  </mc:AlternateContent>
  <xr:revisionPtr revIDLastSave="36" documentId="8_{398DD2CA-494C-2E41-9B1D-CB45B0B43FEF}" xr6:coauthVersionLast="47" xr6:coauthVersionMax="47" xr10:uidLastSave="{5F2A3E55-45A9-44E4-B653-C09981D65BBF}"/>
  <bookViews>
    <workbookView xWindow="-31000" yWindow="-800" windowWidth="30240" windowHeight="19480" firstSheet="1" activeTab="1" xr2:uid="{00000000-000D-0000-FFFF-FFFF00000000}"/>
  </bookViews>
  <sheets>
    <sheet name="Overview" sheetId="1" r:id="rId1"/>
    <sheet name="Rubric" sheetId="2" r:id="rId2"/>
    <sheet name="Interview" sheetId="3" r:id="rId3"/>
    <sheet name="Scoring" sheetId="4" r:id="rId4"/>
    <sheet name="Dashboard" sheetId="5" state="hidden" r:id="rId5"/>
    <sheet name="Notes &amp; Risks" sheetId="6" r:id="rId6"/>
    <sheet name="COE Justification" sheetId="7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4" l="1"/>
  <c r="B10" i="5"/>
  <c r="B18" i="5" s="1"/>
  <c r="B9" i="5"/>
  <c r="B17" i="5" s="1"/>
  <c r="B8" i="5"/>
  <c r="B16" i="5" s="1"/>
  <c r="B7" i="5"/>
  <c r="B15" i="5" s="1"/>
  <c r="B6" i="5"/>
  <c r="B14" i="5" s="1"/>
  <c r="D6" i="4"/>
  <c r="D5" i="4"/>
  <c r="D8" i="4" s="1"/>
  <c r="D4" i="4"/>
  <c r="D3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tc={F6901A72-7D27-43DB-B839-7FB840D728DF}</author>
    <author>tc={47718E8F-F9AA-4D10-9BFA-D8D1803B95A9}</author>
    <author>tc={BA24D416-555C-498A-A218-D66D9BB9E996}</author>
    <author>tc={3BCAE48E-C41A-4CEC-90AE-7D196A8020F9}</author>
    <author>tc={A9C9CAB9-650E-435C-AA70-CB4676B5552F}</author>
    <author>tc={FE50267E-9F09-4DBC-8577-23CB536E2C54}</author>
    <author>tc={15ED354B-72AE-475E-80B1-D302FE424561}</author>
  </authors>
  <commentList>
    <comment ref="C7" authorId="0" shapeId="0" xr:uid="{F6901A72-7D27-43DB-B839-7FB840D728DF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@Sai Grant Is this something that you will as the person you are interviewing to self-assess a score?
Reply:
    this is HSAI assessment not asking client to self-score lol 
Reply:
    I assumed lol. I would remove and just have on the scoring tab.</t>
      </text>
    </comment>
    <comment ref="C15" authorId="1" shapeId="0" xr:uid="{47718E8F-F9AA-4D10-9BFA-D8D1803B95A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@Sai Grant Assuming this is a question to get information about their individual workflows, alt: How do you access AI coding tools? In IDE, command line, web, something else?
</t>
      </text>
    </comment>
    <comment ref="C21" authorId="2" shapeId="0" xr:uid="{BA24D416-555C-498A-A218-D66D9BB9E996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@Sai Grant  is this something that you would ask the person you are interviewing to rate themselves?</t>
      </text>
    </comment>
    <comment ref="C26" authorId="3" shapeId="0" xr:uid="{3BCAE48E-C41A-4CEC-90AE-7D196A8020F9}">
      <text>
        <t>[Threaded comment]
Your version of Excel allows you to read this threaded comment; however, any edits to it will get removed if the file is opened in a newer version of Excel. Learn more: https://go.microsoft.com/fwlink/?linkid=870924
Comment:
    Duplicate, recommend removal</t>
      </text>
    </comment>
    <comment ref="C27" authorId="4" shapeId="0" xr:uid="{A9C9CAB9-650E-435C-AA70-CB4676B5552F}">
      <text>
        <t>[Threaded comment]
Your version of Excel allows you to read this threaded comment; however, any edits to it will get removed if the file is opened in a newer version of Excel. Learn more: https://go.microsoft.com/fwlink/?linkid=870924
Comment:
    Recommend we keep this question only to permission scopes, the kill switch doesn't make a lot of sense for where they are</t>
      </text>
    </comment>
    <comment ref="C29" authorId="5" shapeId="0" xr:uid="{FE50267E-9F09-4DBC-8577-23CB536E2C54}">
      <text>
        <t>[Threaded comment]
Your version of Excel allows you to read this threaded comment; however, any edits to it will get removed if the file is opened in a newer version of Excel. Learn more: https://go.microsoft.com/fwlink/?linkid=870924
Comment:
    @Sai Grant alt phasing: Who decides what Ai tools you can or can't use? Do you have a team responsible for Ai Enablement in your organization?</t>
      </text>
    </comment>
    <comment ref="C32" authorId="6" shapeId="0" xr:uid="{15ED354B-72AE-475E-80B1-D302FE424561}">
      <text>
        <t>[Threaded comment]
Your version of Excel allows you to read this threaded comment; however, any edits to it will get removed if the file is opened in a newer version of Excel. Learn more: https://go.microsoft.com/fwlink/?linkid=870924
Comment:
    @Sai Grant alt wording: Are there specific people in your organization that help train others to use Ai tools? Are these roles 'formal' or are they just acknowledged as a domain expert?</t>
      </text>
    </comment>
  </commentList>
</comments>
</file>

<file path=xl/sharedStrings.xml><?xml version="1.0" encoding="utf-8"?>
<sst xmlns="http://schemas.openxmlformats.org/spreadsheetml/2006/main" count="249" uniqueCount="161">
  <si>
    <t>AI Maturity Assessment Template</t>
  </si>
  <si>
    <t>Purpose</t>
  </si>
  <si>
    <t>Assess a client's AI capabilities across SDLC, integration, governance, operating model, and value realization to baseline current state and define target trajectory.</t>
  </si>
  <si>
    <t>Scoring Levels</t>
  </si>
  <si>
    <t>0= None | 1 = Assisted | 2 = Integrated | 3 = Agentic | 4 = Autonomous</t>
  </si>
  <si>
    <t>Domains &amp; Weights</t>
  </si>
  <si>
    <t>1) SDLC Automation &amp; AI Capability (25%) 
2) System Integration &amp; Context (20%)
 3) Governance &amp; Risk Control (20%) 
4) Operating Model &amp; COE (20%) 
5) Value Realization &amp; KPI (15%)</t>
  </si>
  <si>
    <t>How to Use</t>
  </si>
  <si>
    <t>1) Run stakeholder interviews using the Interview sheet. 
2) Score each domain in Scoring sheet. 
3) Review Rubric sheet for anchors/evidence.
4) The Dashboard sheet calculates the weighted index and shows a radar chart. 
5) Use Notes &amp; Risks for qualitative findings and follow-ups.</t>
  </si>
  <si>
    <t>Domain</t>
  </si>
  <si>
    <t>Level</t>
  </si>
  <si>
    <t>Definition</t>
  </si>
  <si>
    <t>Observable Behaviors / Evidence</t>
  </si>
  <si>
    <t>Risks</t>
  </si>
  <si>
    <t>Weight</t>
  </si>
  <si>
    <t>SDLC Automation &amp; AI Capability</t>
  </si>
  <si>
    <t>Assisted (Individual productivity)</t>
  </si>
  <si>
    <t>Developers use copilots/chat individually; AI writes code/docs; no standardized prompts; no enforced review; manual testing primary; Evidence: Copilot usage logs; No CI/CD integration; No AI in backlog triage</t>
  </si>
  <si>
    <t>Illusory productivity; Quality drift</t>
  </si>
  <si>
    <t>Integrated (Workflow automation)</t>
  </si>
  <si>
    <t>AI in CI/CD for test gen, linting, PR suggestions; AI assists issue readiness; docs sync partially automated; AI tasks triggered by workflow events; Evidence: AI jobs in pipeline; automated test gen; issue enrichment bots</t>
  </si>
  <si>
    <t>Automation without ownership</t>
  </si>
  <si>
    <t>Agentic (Multi-step task ownership)</t>
  </si>
  <si>
    <t>Agents generate PRs, create tests, validate output, update docs; structured workflows; guardrails; Evidence: agent orchestration; automated PR review/approval; multi-step logs</t>
  </si>
  <si>
    <t>Over-delegation without escalation paths</t>
  </si>
  <si>
    <t>Autonomous (Closed-loop execution)</t>
  </si>
  <si>
    <t>Agents manage phases; continuous test+deploy loops; proactive issue synthesis; human oversight for exceptions; Evidence: closed-loop telemetry to backlog; autonomous sequencing</t>
  </si>
  <si>
    <t>Policy drift; Local optimization over business value</t>
  </si>
  <si>
    <t>System Integration &amp; Context</t>
  </si>
  <si>
    <t>Isolated</t>
  </si>
  <si>
    <t>AI isolated in IDE/chat; no shared state; no cross-system context</t>
  </si>
  <si>
    <t>Siloed outcomes; inconsistent quality</t>
  </si>
  <si>
    <t>Connected</t>
  </si>
  <si>
    <t>AI connected to Git/CI-CD/Jira; triggered events; limited orchestration</t>
  </si>
  <si>
    <t>Fragile integrations; limited scalability</t>
  </si>
  <si>
    <t>Context-Sharing</t>
  </si>
  <si>
    <t>Agents share repo/PR history, architecture docs, CI results; state persistence</t>
  </si>
  <si>
    <t>Context staleness risk</t>
  </si>
  <si>
    <t>Unified Context Layer</t>
  </si>
  <si>
    <t>Technical+Business+Product+Governance context; monitoring feedback loops; business metrics influence backlog</t>
  </si>
  <si>
    <t>Complexity; governance drift if unmanaged</t>
  </si>
  <si>
    <t>Governance &amp; Risk Control</t>
  </si>
  <si>
    <t>Ad-hoc</t>
  </si>
  <si>
    <t>No formal AI policy; tool sprawl; no logging/audit</t>
  </si>
  <si>
    <t>Compliance exposure</t>
  </si>
  <si>
    <t>Controlled Tools</t>
  </si>
  <si>
    <t>Approved tool list; logging enabled; access controls defined</t>
  </si>
  <si>
    <t>False sense of safety; gaps in process</t>
  </si>
  <si>
    <t>Embedded Gates</t>
  </si>
  <si>
    <t>Agent permissions; human approval gates; rollback policies; risk register maintained</t>
  </si>
  <si>
    <t>Escalation bottlenecks</t>
  </si>
  <si>
    <t>Policy-Automated</t>
  </si>
  <si>
    <t>Policy-driven automation; kill switches; continuous audit; governance in CI/CD</t>
  </si>
  <si>
    <t>Over-governance slowing value</t>
  </si>
  <si>
    <t>Operating Model &amp; COE</t>
  </si>
  <si>
    <t>Individual-driven</t>
  </si>
  <si>
    <t>Individual AI use; no central ownership; no enablement</t>
  </si>
  <si>
    <t>Inconsistent outcomes</t>
  </si>
  <si>
    <t>Enablement Exists</t>
  </si>
  <si>
    <t>AI Enablement team; standard tools promoted; some training</t>
  </si>
  <si>
    <t>Limited adoption</t>
  </si>
  <si>
    <t>Formal COE</t>
  </si>
  <si>
    <t>COE; change champions; clear agent ownership; KPI accountability</t>
  </si>
  <si>
    <t>Org friction</t>
  </si>
  <si>
    <t>AI-Structured Org</t>
  </si>
  <si>
    <t>Org structured around AI-enabled delivery; COE sets standards; agents treated as prod software</t>
  </si>
  <si>
    <t>Rigidity risk</t>
  </si>
  <si>
    <t>Value Realization &amp; KPI</t>
  </si>
  <si>
    <t>Anecdotal</t>
  </si>
  <si>
    <t>Qualitative productivity claims; no baselines</t>
  </si>
  <si>
    <t>No ROI signal</t>
  </si>
  <si>
    <t>Metric-Tracked</t>
  </si>
  <si>
    <t>DORA &amp; Quality metrics tracked; baseline vs post-AI comparisons</t>
  </si>
  <si>
    <t>Attribution ambiguity</t>
  </si>
  <si>
    <t>KPI-Linked</t>
  </si>
  <si>
    <t>KPI-linked agent deployment; PR cycle time reduced; throughput up; defect leakage tracked</t>
  </si>
  <si>
    <t>Gaming metrics</t>
  </si>
  <si>
    <t>Financially Tied</t>
  </si>
  <si>
    <t>Investments tied to EBITDA, revenue, marginal cost; QBRs tied to AI outcomes</t>
  </si>
  <si>
    <t>Short-termism</t>
  </si>
  <si>
    <t>Section</t>
  </si>
  <si>
    <t>Topic</t>
  </si>
  <si>
    <t>Question / Prompt</t>
  </si>
  <si>
    <t>Notes / Evidence</t>
  </si>
  <si>
    <t>SECTION 1: SDLC Automation &amp; AI Capability (25%)</t>
  </si>
  <si>
    <t>1.1 Current AI Usage in Delivery</t>
  </si>
  <si>
    <t>How are developers currently using AI tools (e.g., Copilot, ChatGPT, internal tools)?</t>
  </si>
  <si>
    <t>Are AI tools standardized or chosen individually? If there is one, what is the selection process like?</t>
  </si>
  <si>
    <t>What processes do you currently follow for planning, issue refinement, code generation, test creation, CI/CD? Where does AI live in this process?</t>
  </si>
  <si>
    <t>How are AI outputs reviewed? Do you have any organizational policies that set standards for AI usage and review?</t>
  </si>
  <si>
    <t>Evidence: Pipeline integrations, Copilot policies, automated test generation tools, PR templates</t>
  </si>
  <si>
    <t>Scoring: L1 individual use | L2 pipeline-triggered | L3 multi-step | L4 closed-loop</t>
  </si>
  <si>
    <t>1.2 Automation Across SDLC Phases</t>
  </si>
  <si>
    <t>Plan: Is AI used to prioritize or synthesize backlog items?</t>
  </si>
  <si>
    <t>Design: Does AI draft or validate technical designs?</t>
  </si>
  <si>
    <t>Build: Does AI generate code beyond autocomplete?</t>
  </si>
  <si>
    <t>Test: Is AI generating or maintaining test suites?</t>
  </si>
  <si>
    <t>Deploy: Does AI assist in release management or rollout decisions?</t>
  </si>
  <si>
    <t>Operate: Does telemetry feed back into automated issue creation?</t>
  </si>
  <si>
    <t>Look for: manual handoffs, agent orchestration, human approval gates</t>
  </si>
  <si>
    <t>SECTION 2: System Integration &amp; Context (20%)</t>
  </si>
  <si>
    <t>2.1 Where Does AI Live?</t>
  </si>
  <si>
    <t>How do you access AI coding tools? In IDE, command line, web, something else?</t>
  </si>
  <si>
    <t>Is AI connected to Git, CI/CD, Jira/Azure DevOps, documentation?</t>
  </si>
  <si>
    <t>Do AI tools share context across systems?</t>
  </si>
  <si>
    <t>2.2 Context Depth</t>
  </si>
  <si>
    <t>Does AI access PR history, architecture docs, coding standards, past incidents?</t>
  </si>
  <si>
    <t>How do your teams maintain and share documentation, documents that drive development but aare another team's responsbibility, design docs, etc.? Is there a centralized context layer?</t>
  </si>
  <si>
    <t>What standards do you have to maintain standard system constraints, code styles, SoPs etc.?</t>
  </si>
  <si>
    <t>Scoring: L1 none | L2 trigger-based | L3 shared state | L4 unified + feedback loops</t>
  </si>
  <si>
    <t>SECTION 3: Governance &amp; Risk Control (20%)</t>
  </si>
  <si>
    <t>3.1 AI Tool Governance</t>
  </si>
  <si>
    <t>Is there a formal AI usage policy? Approved tools documented?</t>
  </si>
  <si>
    <t>Are there restrictions on what data your teams can use with AI? Do you collect logs for any of your AI tools or services?</t>
  </si>
  <si>
    <t>3.2 Risk &amp; Control Structure</t>
  </si>
  <si>
    <t>Are AI-generated changes reviewed differently?</t>
  </si>
  <si>
    <t>Are there defined approval gates and rollback mechanisms?</t>
  </si>
  <si>
    <t>Are AI outputs audited?</t>
  </si>
  <si>
    <t>3.3 Agent Control (If Applicable)</t>
  </si>
  <si>
    <t>Do agents have defined permission scopes? Do you only run agents syncronously?</t>
  </si>
  <si>
    <t>Is there an escalation path if an agent fails?</t>
  </si>
  <si>
    <t>SECTION 4: Operating Model &amp; COE (20%)</t>
  </si>
  <si>
    <t>4.1 Ownership</t>
  </si>
  <si>
    <t>Who decides what AI tools you can or can't use? Do you have a team responsible for AI Enablement in your organization?</t>
  </si>
  <si>
    <t>Is there a defined AI strategy? Is AI part of engineering OKRs?</t>
  </si>
  <si>
    <t>4.2 COE Readiness</t>
  </si>
  <si>
    <t>Does a formal AI governance body exist? Standards centrally defined?</t>
  </si>
  <si>
    <t>Are change champions identified? Cross-functional alignment?</t>
  </si>
  <si>
    <t>4.3 Cultural Readiness</t>
  </si>
  <si>
    <t>Is there resistance to AI? Experimental or strategic? Executive sponsorship?</t>
  </si>
  <si>
    <t>SECTION 5: Value Realization &amp; KPI (15%)</t>
  </si>
  <si>
    <t>5.1 Baseline Measurement</t>
  </si>
  <si>
    <t>Do you track PR cycle time, deployment frequency, change failure rate, lead time for change?</t>
  </si>
  <si>
    <t>Are these metrics trusted?</t>
  </si>
  <si>
    <t>5.2 AI Impact Measurement</t>
  </si>
  <si>
    <t>Have you measured AI's impact? Pre/post baselines? Quantified or anecdotal?</t>
  </si>
  <si>
    <t>5.3 Business Alignment</t>
  </si>
  <si>
    <t>Is AI tied to EBITDA, revenue acceleration, marginal cost reduction?</t>
  </si>
  <si>
    <t>Score (1-4)</t>
  </si>
  <si>
    <t>Weighted Score</t>
  </si>
  <si>
    <t>Evidence / Notes</t>
  </si>
  <si>
    <t>Confidence (Low/Med/High)</t>
  </si>
  <si>
    <t>Overall Maturity Index (1.0 – 4.0)</t>
  </si>
  <si>
    <t>AI Maturity Dashboard</t>
  </si>
  <si>
    <t>Instructions</t>
  </si>
  <si>
    <t>Fill in the Scoring sheet. This dashboard will update automatically. Adjust target levels below to visualize gaps.</t>
  </si>
  <si>
    <t>Current Score</t>
  </si>
  <si>
    <t>Target Score</t>
  </si>
  <si>
    <t>Gap Heatmap (Target - Current)</t>
  </si>
  <si>
    <t>Gap</t>
  </si>
  <si>
    <t>Area</t>
  </si>
  <si>
    <t>Observation</t>
  </si>
  <si>
    <t>Risk Indicator</t>
  </si>
  <si>
    <t>Mitigation / Next Step</t>
  </si>
  <si>
    <t>Owner</t>
  </si>
  <si>
    <t>Due Date</t>
  </si>
  <si>
    <t>Theme</t>
  </si>
  <si>
    <t>Finding</t>
  </si>
  <si>
    <t>Evidence</t>
  </si>
  <si>
    <t>Implication</t>
  </si>
  <si>
    <t>Recommendation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</si>
</sst>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6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medium">
        <color indexed="64"/>
      </left>
      <right style="thin">
        <color rgb="FFAAAAAA"/>
      </right>
      <top style="medium">
        <color indexed="64"/>
      </top>
      <bottom style="thin">
        <color rgb="FFAAAAAA"/>
      </bottom>
      <diagonal/>
    </border>
    <border>
      <left style="thin">
        <color rgb="FFAAAAAA"/>
      </left>
      <right style="thin">
        <color rgb="FFAAAAAA"/>
      </right>
      <top style="medium">
        <color indexed="64"/>
      </top>
      <bottom style="thin">
        <color rgb="FFAAAAAA"/>
      </bottom>
      <diagonal/>
    </border>
    <border>
      <left style="medium">
        <color indexed="64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medium">
        <color indexed="64"/>
      </left>
      <right style="thin">
        <color rgb="FFAAAAAA"/>
      </right>
      <top style="thin">
        <color rgb="FFAAAAAA"/>
      </top>
      <bottom style="medium">
        <color indexed="64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medium">
        <color indexed="64"/>
      </bottom>
      <diagonal/>
    </border>
    <border>
      <left style="thin">
        <color rgb="FFAAAAAA"/>
      </left>
      <right style="medium">
        <color indexed="64"/>
      </right>
      <top style="medium">
        <color indexed="64"/>
      </top>
      <bottom style="thin">
        <color rgb="FFAAAAAA"/>
      </bottom>
      <diagonal/>
    </border>
    <border>
      <left style="thin">
        <color rgb="FFAAAAAA"/>
      </left>
      <right style="medium">
        <color indexed="64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 style="medium">
        <color indexed="64"/>
      </right>
      <top style="thin">
        <color rgb="FFAAAAAA"/>
      </top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2" fillId="0" borderId="0" xfId="0" applyFont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2" fillId="0" borderId="0" xfId="0" applyFont="1"/>
    <xf numFmtId="0" fontId="1" fillId="0" borderId="0" xfId="0" applyFont="1"/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0" fillId="0" borderId="4" xfId="0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0" fillId="0" borderId="6" xfId="0" applyBorder="1" applyAlignment="1">
      <alignment vertical="top" wrapText="1"/>
    </xf>
    <xf numFmtId="0" fontId="0" fillId="0" borderId="7" xfId="0" applyBorder="1" applyAlignment="1">
      <alignment vertical="top" wrapText="1"/>
    </xf>
    <xf numFmtId="0" fontId="0" fillId="0" borderId="8" xfId="0" applyBorder="1" applyAlignment="1">
      <alignment vertical="top" wrapText="1"/>
    </xf>
    <xf numFmtId="0" fontId="0" fillId="0" borderId="9" xfId="0" applyBorder="1" applyAlignment="1">
      <alignment vertical="top" wrapText="1"/>
    </xf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6"/>
  <c:chart>
    <c:title>
      <c:tx>
        <c:rich>
          <a:bodyPr/>
          <a:lstStyle/>
          <a:p>
            <a:pPr>
              <a:defRPr/>
            </a:pPr>
            <a:r>
              <a:rPr lang="en-US"/>
              <a:t>AI Maturity Radar (Current vs Target)</a:t>
            </a:r>
          </a:p>
        </c:rich>
      </c:tx>
      <c:overlay val="1"/>
    </c:title>
    <c:autoTitleDeleted val="0"/>
    <c:plotArea>
      <c:layout/>
      <c:radarChart>
        <c:radarStyle val="marker"/>
        <c:varyColors val="1"/>
        <c:ser>
          <c:idx val="0"/>
          <c:order val="0"/>
          <c:tx>
            <c:strRef>
              <c:f>Dashboard!$B$5</c:f>
              <c:strCache>
                <c:ptCount val="1"/>
                <c:pt idx="0">
                  <c:v>Current Score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Dashboard!$A$6:$A$10</c:f>
              <c:strCache>
                <c:ptCount val="5"/>
                <c:pt idx="0">
                  <c:v>SDLC Automation &amp; AI Capability</c:v>
                </c:pt>
                <c:pt idx="1">
                  <c:v>System Integration &amp; Context</c:v>
                </c:pt>
                <c:pt idx="2">
                  <c:v>Governance &amp; Risk Control</c:v>
                </c:pt>
                <c:pt idx="3">
                  <c:v>Operating Model &amp; COE</c:v>
                </c:pt>
                <c:pt idx="4">
                  <c:v>Value Realization &amp; KPI</c:v>
                </c:pt>
              </c:strCache>
            </c:strRef>
          </c:cat>
          <c:val>
            <c:numRef>
              <c:f>Dashboard!$B$6:$B$10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1F-344F-A0A9-67AF9F2D7A73}"/>
            </c:ext>
          </c:extLst>
        </c:ser>
        <c:ser>
          <c:idx val="1"/>
          <c:order val="1"/>
          <c:tx>
            <c:strRef>
              <c:f>Dashboard!$C$5</c:f>
              <c:strCache>
                <c:ptCount val="1"/>
                <c:pt idx="0">
                  <c:v>Target Score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Dashboard!$A$6:$A$10</c:f>
              <c:strCache>
                <c:ptCount val="5"/>
                <c:pt idx="0">
                  <c:v>SDLC Automation &amp; AI Capability</c:v>
                </c:pt>
                <c:pt idx="1">
                  <c:v>System Integration &amp; Context</c:v>
                </c:pt>
                <c:pt idx="2">
                  <c:v>Governance &amp; Risk Control</c:v>
                </c:pt>
                <c:pt idx="3">
                  <c:v>Operating Model &amp; COE</c:v>
                </c:pt>
                <c:pt idx="4">
                  <c:v>Value Realization &amp; KPI</c:v>
                </c:pt>
              </c:strCache>
            </c:strRef>
          </c:cat>
          <c:val>
            <c:numRef>
              <c:f>Dashboard!$C$6:$C$10</c:f>
              <c:numCache>
                <c:formatCode>General</c:formatCode>
                <c:ptCount val="5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21F-344F-A0A9-67AF9F2D7A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100"/>
      </c:rad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ocumenttasks/documenttask1.xml><?xml version="1.0" encoding="utf-8"?>
<Tasks xmlns="http://schemas.microsoft.com/office/tasks/2019/documenttasks">
  <Task id="{D0883A62-C3ED-4A2C-ABD7-6FB26CB2EBCC}">
    <Anchor>
      <Comment id="{F6901A72-7D27-43DB-B839-7FB840D728DF}"/>
    </Anchor>
    <History>
      <Event time="2026-03-02T18:21:56.63" id="{3A2903C6-02F6-41AB-B380-C4F09D6B042D}">
        <Attribution userId="S::jbucki@headstorm.ai::17bf7c99-ade9-4146-b5f7-070060f98610" userName="James Bucki" userProvider="AD"/>
        <Anchor>
          <Comment id="{F6901A72-7D27-43DB-B839-7FB840D728DF}"/>
        </Anchor>
        <Create/>
      </Event>
      <Event time="2026-03-02T18:21:56.63" id="{A8F7C3EC-DF31-45A3-A2F8-3C41CFEFAED9}">
        <Attribution userId="S::jbucki@headstorm.ai::17bf7c99-ade9-4146-b5f7-070060f98610" userName="James Bucki" userProvider="AD"/>
        <Anchor>
          <Comment id="{F6901A72-7D27-43DB-B839-7FB840D728DF}"/>
        </Anchor>
        <Assign userId="S::sgrant@headstorm.ai::d05f00ee-44cf-4169-91a4-f692ad134abf" userName="Sai Grant" userProvider="AD"/>
      </Event>
      <Event time="2026-03-02T18:21:56.63" id="{D866F279-C55F-42C8-B7A5-C1E5547F520B}">
        <Attribution userId="S::jbucki@headstorm.ai::17bf7c99-ade9-4146-b5f7-070060f98610" userName="James Bucki" userProvider="AD"/>
        <Anchor>
          <Comment id="{F6901A72-7D27-43DB-B839-7FB840D728DF}"/>
        </Anchor>
        <SetTitle title="@Sai Grant Is this something that you will as the person you are interviewing to self-assess a score?"/>
      </Event>
    </History>
  </Task>
  <Task id="{8CD5A271-C163-463F-9C05-E0A13FD363D6}">
    <Anchor>
      <Comment id="{47718E8F-F9AA-4D10-9BFA-D8D1803B95A9}"/>
    </Anchor>
    <History>
      <Event time="2026-03-02T18:14:29.04" id="{FF506C65-F903-4E24-B5E4-698706991B29}">
        <Attribution userId="S::jbucki@headstorm.ai::17bf7c99-ade9-4146-b5f7-070060f98610" userName="James Bucki" userProvider="AD"/>
        <Anchor>
          <Comment id="{47718E8F-F9AA-4D10-9BFA-D8D1803B95A9}"/>
        </Anchor>
        <Create/>
      </Event>
      <Event time="2026-03-02T18:14:29.04" id="{637D4DEB-F036-4813-9A77-A2AAA0743E33}">
        <Attribution userId="S::jbucki@headstorm.ai::17bf7c99-ade9-4146-b5f7-070060f98610" userName="James Bucki" userProvider="AD"/>
        <Anchor>
          <Comment id="{47718E8F-F9AA-4D10-9BFA-D8D1803B95A9}"/>
        </Anchor>
        <Assign userId="S::sgrant@headstorm.ai::d05f00ee-44cf-4169-91a4-f692ad134abf" userName="Sai Grant" userProvider="AD"/>
      </Event>
      <Event time="2026-03-02T18:14:29.04" id="{5BED36A1-E3D7-43E5-8A0A-4737A9188FC8}">
        <Attribution userId="S::jbucki@headstorm.ai::17bf7c99-ade9-4146-b5f7-070060f98610" userName="James Bucki" userProvider="AD"/>
        <Anchor>
          <Comment id="{47718E8F-F9AA-4D10-9BFA-D8D1803B95A9}"/>
        </Anchor>
        <SetTitle title="@Sai Grant Assuming this is a question to get information about their individual workflows, alt: How do you access AI coding tools? In IDE, command line, web, something else?"/>
      </Event>
    </History>
  </Task>
  <Task id="{8BFA72FB-41A0-4DAC-8E17-A6837CE82B37}">
    <Anchor>
      <Comment id="{BA24D416-555C-498A-A218-D66D9BB9E996}"/>
    </Anchor>
    <History>
      <Event time="2026-03-02T18:12:05.24" id="{094454BA-7F2B-475F-8AAB-FA805B7CB741}">
        <Attribution userId="S::jbucki@headstorm.ai::17bf7c99-ade9-4146-b5f7-070060f98610" userName="James Bucki" userProvider="AD"/>
        <Anchor>
          <Comment id="{BA24D416-555C-498A-A218-D66D9BB9E996}"/>
        </Anchor>
        <Create/>
      </Event>
      <Event time="2026-03-02T18:12:05.24" id="{C9589DA8-47B3-46C9-9BF5-6D340A1E4DBF}">
        <Attribution userId="S::jbucki@headstorm.ai::17bf7c99-ade9-4146-b5f7-070060f98610" userName="James Bucki" userProvider="AD"/>
        <Anchor>
          <Comment id="{BA24D416-555C-498A-A218-D66D9BB9E996}"/>
        </Anchor>
        <Assign userId="S::sgrant@headstorm.ai::d05f00ee-44cf-4169-91a4-f692ad134abf" userName="Sai Grant" userProvider="AD"/>
      </Event>
      <Event time="2026-03-02T18:12:05.24" id="{117D51C4-61F5-42C7-A014-105FCD31E45E}">
        <Attribution userId="S::jbucki@headstorm.ai::17bf7c99-ade9-4146-b5f7-070060f98610" userName="James Bucki" userProvider="AD"/>
        <Anchor>
          <Comment id="{BA24D416-555C-498A-A218-D66D9BB9E996}"/>
        </Anchor>
        <SetTitle title="@Sai Grant is this something that you would ask the person you are interviewing to rate themselves?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4</xdr:row>
      <xdr:rowOff>0</xdr:rowOff>
    </xdr:from>
    <xdr:ext cx="8640000" cy="64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Sai Grant" id="{5D9DABC8-E2E1-451A-84FC-5E4EFC9BB842}" userId="sgrant@headstorm.ai" providerId="PeoplePicker"/>
  <person displayName="James Bucki" id="{9606898E-9DF2-436E-92B4-EB2972FBBB0A}" userId="S::jbucki@headstorm.ai::17bf7c99-ade9-4146-b5f7-070060f98610" providerId="AD"/>
  <person displayName="Sai Grant" id="{DF90869D-E230-44D2-A78D-37960C286CCB}" userId="S::sgrant@headstorm.ai::d05f00ee-44cf-4169-91a4-f692ad134abf" providerId="AD"/>
  <person displayName="Brennon Williams" id="{334A4833-98A0-43D0-8710-6706405B58B3}" userId="S::bwilliams@headstorm.ai::b291b5b5-986f-4245-8453-89bf763b8876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7" dT="2026-03-02T18:21:56.61" personId="{9606898E-9DF2-436E-92B4-EB2972FBBB0A}" id="{F6901A72-7D27-43DB-B839-7FB840D728DF}">
    <text>@Sai Grant Is this something that you will as the person you are interviewing to self-assess a score?</text>
    <mentions>
      <mention mentionpersonId="{5D9DABC8-E2E1-451A-84FC-5E4EFC9BB842}" mentionId="{EB019760-C81A-4512-AD63-0279BE4C6886}" startIndex="0" length="10"/>
    </mentions>
  </threadedComment>
  <threadedComment ref="C7" dT="2026-03-02T18:44:44.42" personId="{DF90869D-E230-44D2-A78D-37960C286CCB}" id="{589BEFB7-7224-486E-BE2B-7A42C5910236}" parentId="{F6901A72-7D27-43DB-B839-7FB840D728DF}">
    <text xml:space="preserve">this is HSAI assessment not asking client to self-score lol </text>
  </threadedComment>
  <threadedComment ref="C7" dT="2026-03-02T19:01:27.69" personId="{9606898E-9DF2-436E-92B4-EB2972FBBB0A}" id="{664DB82D-32FC-44A6-8AD5-6039FFA3F31B}" parentId="{F6901A72-7D27-43DB-B839-7FB840D728DF}">
    <text>I assumed lol. I would remove and just have on the scoring tab.</text>
  </threadedComment>
  <threadedComment ref="C15" dT="2026-03-02T18:14:29.08" personId="{9606898E-9DF2-436E-92B4-EB2972FBBB0A}" id="{47718E8F-F9AA-4D10-9BFA-D8D1803B95A9}">
    <text xml:space="preserve">@Sai Grant Assuming this is a question to get information about their individual workflows, alt: How do you access AI coding tools? In IDE, command line, web, something else?
</text>
    <mentions>
      <mention mentionpersonId="{5D9DABC8-E2E1-451A-84FC-5E4EFC9BB842}" mentionId="{408E0C13-A11A-41FD-9EFD-E191BDA8111A}" startIndex="0" length="10"/>
    </mentions>
  </threadedComment>
  <threadedComment ref="C21" dT="2026-03-02T18:12:05.23" personId="{9606898E-9DF2-436E-92B4-EB2972FBBB0A}" id="{BA24D416-555C-498A-A218-D66D9BB9E996}">
    <text>@Sai Grant  is this something that you would ask the person you are interviewing to rate themselves?</text>
    <mentions>
      <mention mentionpersonId="{5D9DABC8-E2E1-451A-84FC-5E4EFC9BB842}" mentionId="{A6ECF3BF-80F6-4C22-98FE-280A92EAA853}" startIndex="0" length="10"/>
    </mentions>
  </threadedComment>
  <threadedComment ref="C26" dT="2026-03-02T18:18:10.88" personId="{334A4833-98A0-43D0-8710-6706405B58B3}" id="{3BCAE48E-C41A-4CEC-90AE-7D196A8020F9}">
    <text>Duplicate, recommend removal</text>
  </threadedComment>
  <threadedComment ref="C27" dT="2026-03-02T18:19:45.39" personId="{334A4833-98A0-43D0-8710-6706405B58B3}" id="{A9C9CAB9-650E-435C-AA70-CB4676B5552F}" done="1">
    <text>Recommend we keep this question only to permission scopes, the kill switch doesn't make a lot of sense for where they are</text>
  </threadedComment>
  <threadedComment ref="C29" dT="2026-03-02T18:16:16.02" personId="{9606898E-9DF2-436E-92B4-EB2972FBBB0A}" id="{FE50267E-9F09-4DBC-8577-23CB536E2C54}" done="1">
    <text>@Sai Grant alt phasing: Who decides what Ai tools you can or can't use? Do you have a team responsible for Ai Enablement in your organization?</text>
    <mentions>
      <mention mentionpersonId="{5D9DABC8-E2E1-451A-84FC-5E4EFC9BB842}" mentionId="{2DED2C90-356D-4D7E-A443-43A18CFB9060}" startIndex="0" length="10"/>
    </mentions>
  </threadedComment>
  <threadedComment ref="C32" dT="2026-03-02T18:18:03.94" personId="{9606898E-9DF2-436E-92B4-EB2972FBBB0A}" id="{15ED354B-72AE-475E-80B1-D302FE424561}">
    <text>@Sai Grant alt wording: Are there specific people in your organization that help train others to use Ai tools? Are these roles 'formal' or are they just acknowledged as a domain expert?</text>
    <mentions>
      <mention mentionpersonId="{5D9DABC8-E2E1-451A-84FC-5E4EFC9BB842}" mentionId="{16F99B08-9918-462F-A907-A0AEC0478250}" startIndex="0" length="10"/>
    </mentions>
  </threadedComment>
</ThreadedComments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2A27227B-A2E2-4504-B341-B052E4CA9CD5}">
  <we:reference id="WA200009404" version="1.0.0.8" store="en-us" storeType="omex"/>
  <we:alternateReferences>
    <we:reference id="WA200009404" version="1.0.0.8" store="en-us" storeType="omex"/>
  </we:alternateReferences>
  <we:properties>
    <we:property name="Office.AutoShowTaskpaneWithDocument" value="true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Relationship Id="rId4" Type="http://schemas.microsoft.com/office/2019/04/relationships/documenttask" Target="../documenttasks/documenttask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workbookViewId="0">
      <selection activeCell="B5" sqref="B5"/>
    </sheetView>
  </sheetViews>
  <sheetFormatPr defaultColWidth="8.85546875" defaultRowHeight="15"/>
  <cols>
    <col min="1" max="1" width="28" customWidth="1"/>
    <col min="2" max="2" width="120" customWidth="1"/>
  </cols>
  <sheetData>
    <row r="1" spans="1:2" ht="44.1">
      <c r="A1" s="1" t="s">
        <v>0</v>
      </c>
    </row>
    <row r="2" spans="1:2" ht="32.1">
      <c r="A2" s="2" t="s">
        <v>1</v>
      </c>
      <c r="B2" s="2" t="s">
        <v>2</v>
      </c>
    </row>
    <row r="3" spans="1:2" ht="15.95">
      <c r="A3" s="2" t="s">
        <v>3</v>
      </c>
      <c r="B3" s="2" t="s">
        <v>4</v>
      </c>
    </row>
    <row r="4" spans="1:2" ht="80.099999999999994">
      <c r="A4" s="2" t="s">
        <v>5</v>
      </c>
      <c r="B4" s="2" t="s">
        <v>6</v>
      </c>
    </row>
    <row r="5" spans="1:2" ht="80.099999999999994">
      <c r="A5" s="2" t="s">
        <v>7</v>
      </c>
      <c r="B5" s="2" t="s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G21"/>
  <sheetViews>
    <sheetView tabSelected="1" workbookViewId="0">
      <pane ySplit="1" topLeftCell="A2" activePane="bottomLeft" state="frozen"/>
      <selection pane="bottomLeft" activeCell="K7" sqref="K7"/>
    </sheetView>
  </sheetViews>
  <sheetFormatPr defaultColWidth="8.85546875" defaultRowHeight="15"/>
  <cols>
    <col min="1" max="1" width="3.28515625" customWidth="1"/>
    <col min="2" max="2" width="30" customWidth="1"/>
    <col min="3" max="3" width="8" customWidth="1"/>
    <col min="4" max="4" width="24" customWidth="1"/>
    <col min="5" max="5" width="60" customWidth="1"/>
    <col min="6" max="6" width="28" customWidth="1"/>
    <col min="7" max="7" width="10" customWidth="1"/>
  </cols>
  <sheetData>
    <row r="1" spans="2:7" ht="17.100000000000001" thickBot="1">
      <c r="B1" s="3" t="s">
        <v>9</v>
      </c>
      <c r="C1" s="3" t="s">
        <v>10</v>
      </c>
      <c r="D1" s="3" t="s">
        <v>11</v>
      </c>
      <c r="E1" s="3" t="s">
        <v>12</v>
      </c>
      <c r="F1" s="3" t="s">
        <v>13</v>
      </c>
      <c r="G1" s="3" t="s">
        <v>14</v>
      </c>
    </row>
    <row r="2" spans="2:7" ht="48">
      <c r="B2" s="7" t="s">
        <v>15</v>
      </c>
      <c r="C2" s="8">
        <v>1</v>
      </c>
      <c r="D2" s="8" t="s">
        <v>16</v>
      </c>
      <c r="E2" s="8" t="s">
        <v>17</v>
      </c>
      <c r="F2" s="8" t="s">
        <v>18</v>
      </c>
      <c r="G2" s="12">
        <v>0.25</v>
      </c>
    </row>
    <row r="3" spans="2:7" ht="48">
      <c r="B3" s="9" t="s">
        <v>15</v>
      </c>
      <c r="C3" s="4">
        <v>2</v>
      </c>
      <c r="D3" s="4" t="s">
        <v>19</v>
      </c>
      <c r="E3" s="4" t="s">
        <v>20</v>
      </c>
      <c r="F3" s="4" t="s">
        <v>21</v>
      </c>
      <c r="G3" s="13">
        <v>0.25</v>
      </c>
    </row>
    <row r="4" spans="2:7" ht="48">
      <c r="B4" s="9" t="s">
        <v>15</v>
      </c>
      <c r="C4" s="4">
        <v>3</v>
      </c>
      <c r="D4" s="4" t="s">
        <v>22</v>
      </c>
      <c r="E4" s="4" t="s">
        <v>23</v>
      </c>
      <c r="F4" s="4" t="s">
        <v>24</v>
      </c>
      <c r="G4" s="13">
        <v>0.25</v>
      </c>
    </row>
    <row r="5" spans="2:7" ht="48.95" thickBot="1">
      <c r="B5" s="10" t="s">
        <v>15</v>
      </c>
      <c r="C5" s="11">
        <v>4</v>
      </c>
      <c r="D5" s="11" t="s">
        <v>25</v>
      </c>
      <c r="E5" s="11" t="s">
        <v>26</v>
      </c>
      <c r="F5" s="11" t="s">
        <v>27</v>
      </c>
      <c r="G5" s="14">
        <v>0.25</v>
      </c>
    </row>
    <row r="6" spans="2:7" ht="32.1">
      <c r="B6" s="7" t="s">
        <v>28</v>
      </c>
      <c r="C6" s="8">
        <v>1</v>
      </c>
      <c r="D6" s="8" t="s">
        <v>29</v>
      </c>
      <c r="E6" s="8" t="s">
        <v>30</v>
      </c>
      <c r="F6" s="8" t="s">
        <v>31</v>
      </c>
      <c r="G6" s="12">
        <v>0.2</v>
      </c>
    </row>
    <row r="7" spans="2:7" ht="32.1">
      <c r="B7" s="9" t="s">
        <v>28</v>
      </c>
      <c r="C7" s="4">
        <v>2</v>
      </c>
      <c r="D7" s="4" t="s">
        <v>32</v>
      </c>
      <c r="E7" s="4" t="s">
        <v>33</v>
      </c>
      <c r="F7" s="4" t="s">
        <v>34</v>
      </c>
      <c r="G7" s="13">
        <v>0.2</v>
      </c>
    </row>
    <row r="8" spans="2:7" ht="15.95">
      <c r="B8" s="9" t="s">
        <v>28</v>
      </c>
      <c r="C8" s="4">
        <v>3</v>
      </c>
      <c r="D8" s="4" t="s">
        <v>35</v>
      </c>
      <c r="E8" s="4" t="s">
        <v>36</v>
      </c>
      <c r="F8" s="4" t="s">
        <v>37</v>
      </c>
      <c r="G8" s="13">
        <v>0.2</v>
      </c>
    </row>
    <row r="9" spans="2:7" ht="33" thickBot="1">
      <c r="B9" s="10" t="s">
        <v>28</v>
      </c>
      <c r="C9" s="11">
        <v>4</v>
      </c>
      <c r="D9" s="11" t="s">
        <v>38</v>
      </c>
      <c r="E9" s="11" t="s">
        <v>39</v>
      </c>
      <c r="F9" s="11" t="s">
        <v>40</v>
      </c>
      <c r="G9" s="14">
        <v>0.2</v>
      </c>
    </row>
    <row r="10" spans="2:7" ht="15.95">
      <c r="B10" s="7" t="s">
        <v>41</v>
      </c>
      <c r="C10" s="8">
        <v>1</v>
      </c>
      <c r="D10" s="8" t="s">
        <v>42</v>
      </c>
      <c r="E10" s="8" t="s">
        <v>43</v>
      </c>
      <c r="F10" s="8" t="s">
        <v>44</v>
      </c>
      <c r="G10" s="12">
        <v>0.2</v>
      </c>
    </row>
    <row r="11" spans="2:7" ht="32.1">
      <c r="B11" s="9" t="s">
        <v>41</v>
      </c>
      <c r="C11" s="4">
        <v>2</v>
      </c>
      <c r="D11" s="4" t="s">
        <v>45</v>
      </c>
      <c r="E11" s="4" t="s">
        <v>46</v>
      </c>
      <c r="F11" s="4" t="s">
        <v>47</v>
      </c>
      <c r="G11" s="13">
        <v>0.2</v>
      </c>
    </row>
    <row r="12" spans="2:7" ht="32.1">
      <c r="B12" s="9" t="s">
        <v>41</v>
      </c>
      <c r="C12" s="4">
        <v>3</v>
      </c>
      <c r="D12" s="4" t="s">
        <v>48</v>
      </c>
      <c r="E12" s="4" t="s">
        <v>49</v>
      </c>
      <c r="F12" s="4" t="s">
        <v>50</v>
      </c>
      <c r="G12" s="13">
        <v>0.2</v>
      </c>
    </row>
    <row r="13" spans="2:7" ht="33" thickBot="1">
      <c r="B13" s="10" t="s">
        <v>41</v>
      </c>
      <c r="C13" s="11">
        <v>4</v>
      </c>
      <c r="D13" s="11" t="s">
        <v>51</v>
      </c>
      <c r="E13" s="11" t="s">
        <v>52</v>
      </c>
      <c r="F13" s="11" t="s">
        <v>53</v>
      </c>
      <c r="G13" s="14">
        <v>0.2</v>
      </c>
    </row>
    <row r="14" spans="2:7" ht="15.95">
      <c r="B14" s="7" t="s">
        <v>54</v>
      </c>
      <c r="C14" s="8">
        <v>1</v>
      </c>
      <c r="D14" s="8" t="s">
        <v>55</v>
      </c>
      <c r="E14" s="8" t="s">
        <v>56</v>
      </c>
      <c r="F14" s="8" t="s">
        <v>57</v>
      </c>
      <c r="G14" s="12">
        <v>0.2</v>
      </c>
    </row>
    <row r="15" spans="2:7" ht="15.95">
      <c r="B15" s="9" t="s">
        <v>54</v>
      </c>
      <c r="C15" s="4">
        <v>2</v>
      </c>
      <c r="D15" s="4" t="s">
        <v>58</v>
      </c>
      <c r="E15" s="4" t="s">
        <v>59</v>
      </c>
      <c r="F15" s="4" t="s">
        <v>60</v>
      </c>
      <c r="G15" s="13">
        <v>0.2</v>
      </c>
    </row>
    <row r="16" spans="2:7" ht="15.95">
      <c r="B16" s="9" t="s">
        <v>54</v>
      </c>
      <c r="C16" s="4">
        <v>3</v>
      </c>
      <c r="D16" s="4" t="s">
        <v>61</v>
      </c>
      <c r="E16" s="4" t="s">
        <v>62</v>
      </c>
      <c r="F16" s="4" t="s">
        <v>63</v>
      </c>
      <c r="G16" s="13">
        <v>0.2</v>
      </c>
    </row>
    <row r="17" spans="2:7" ht="33" thickBot="1">
      <c r="B17" s="10" t="s">
        <v>54</v>
      </c>
      <c r="C17" s="11">
        <v>4</v>
      </c>
      <c r="D17" s="11" t="s">
        <v>64</v>
      </c>
      <c r="E17" s="11" t="s">
        <v>65</v>
      </c>
      <c r="F17" s="11" t="s">
        <v>66</v>
      </c>
      <c r="G17" s="14">
        <v>0.2</v>
      </c>
    </row>
    <row r="18" spans="2:7" ht="15.95">
      <c r="B18" s="7" t="s">
        <v>67</v>
      </c>
      <c r="C18" s="8">
        <v>1</v>
      </c>
      <c r="D18" s="8" t="s">
        <v>68</v>
      </c>
      <c r="E18" s="8" t="s">
        <v>69</v>
      </c>
      <c r="F18" s="8" t="s">
        <v>70</v>
      </c>
      <c r="G18" s="12">
        <v>0.15</v>
      </c>
    </row>
    <row r="19" spans="2:7" ht="15.95">
      <c r="B19" s="9" t="s">
        <v>67</v>
      </c>
      <c r="C19" s="4">
        <v>2</v>
      </c>
      <c r="D19" s="4" t="s">
        <v>71</v>
      </c>
      <c r="E19" s="4" t="s">
        <v>72</v>
      </c>
      <c r="F19" s="4" t="s">
        <v>73</v>
      </c>
      <c r="G19" s="13">
        <v>0.15</v>
      </c>
    </row>
    <row r="20" spans="2:7" ht="32.1">
      <c r="B20" s="9" t="s">
        <v>67</v>
      </c>
      <c r="C20" s="4">
        <v>3</v>
      </c>
      <c r="D20" s="4" t="s">
        <v>74</v>
      </c>
      <c r="E20" s="4" t="s">
        <v>75</v>
      </c>
      <c r="F20" s="4" t="s">
        <v>76</v>
      </c>
      <c r="G20" s="13">
        <v>0.15</v>
      </c>
    </row>
    <row r="21" spans="2:7" ht="33" thickBot="1">
      <c r="B21" s="10" t="s">
        <v>67</v>
      </c>
      <c r="C21" s="11">
        <v>4</v>
      </c>
      <c r="D21" s="11" t="s">
        <v>77</v>
      </c>
      <c r="E21" s="11" t="s">
        <v>78</v>
      </c>
      <c r="F21" s="11" t="s">
        <v>79</v>
      </c>
      <c r="G21" s="14">
        <v>0.15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7"/>
  <sheetViews>
    <sheetView workbookViewId="0">
      <pane ySplit="1" topLeftCell="A2" activePane="bottomLeft" state="frozen"/>
      <selection pane="bottomLeft" activeCell="G13" sqref="G13"/>
    </sheetView>
  </sheetViews>
  <sheetFormatPr defaultColWidth="8.85546875" defaultRowHeight="15"/>
  <cols>
    <col min="1" max="1" width="39.140625" customWidth="1"/>
    <col min="2" max="2" width="32" customWidth="1"/>
    <col min="3" max="3" width="80" style="2" customWidth="1"/>
    <col min="4" max="4" width="60" customWidth="1"/>
  </cols>
  <sheetData>
    <row r="1" spans="1:4">
      <c r="A1" s="5" t="s">
        <v>80</v>
      </c>
      <c r="B1" s="5" t="s">
        <v>81</v>
      </c>
      <c r="C1" s="15" t="s">
        <v>82</v>
      </c>
      <c r="D1" s="5" t="s">
        <v>83</v>
      </c>
    </row>
    <row r="2" spans="1:4" ht="15.95" customHeight="1">
      <c r="A2" s="4" t="s">
        <v>84</v>
      </c>
      <c r="B2" s="4" t="s">
        <v>85</v>
      </c>
      <c r="C2" s="4" t="s">
        <v>86</v>
      </c>
      <c r="D2" s="4"/>
    </row>
    <row r="3" spans="1:4" ht="15" customHeight="1">
      <c r="A3" s="4" t="s">
        <v>84</v>
      </c>
      <c r="B3" s="4" t="s">
        <v>85</v>
      </c>
      <c r="C3" s="4" t="s">
        <v>87</v>
      </c>
      <c r="D3" s="4"/>
    </row>
    <row r="4" spans="1:4" ht="15.95" customHeight="1">
      <c r="A4" s="4" t="s">
        <v>84</v>
      </c>
      <c r="B4" s="4" t="s">
        <v>85</v>
      </c>
      <c r="C4" s="4" t="s">
        <v>88</v>
      </c>
      <c r="D4" s="4"/>
    </row>
    <row r="5" spans="1:4" ht="15.95" customHeight="1">
      <c r="A5" s="4" t="s">
        <v>84</v>
      </c>
      <c r="B5" s="4" t="s">
        <v>85</v>
      </c>
      <c r="C5" s="4" t="s">
        <v>89</v>
      </c>
      <c r="D5" s="4"/>
    </row>
    <row r="6" spans="1:4" ht="30.75">
      <c r="A6" s="4" t="s">
        <v>84</v>
      </c>
      <c r="B6" s="4" t="s">
        <v>85</v>
      </c>
      <c r="C6" s="4" t="s">
        <v>90</v>
      </c>
      <c r="D6" s="4"/>
    </row>
    <row r="7" spans="1:4" ht="17.100000000000001" customHeight="1">
      <c r="A7" s="4" t="s">
        <v>84</v>
      </c>
      <c r="B7" s="4" t="s">
        <v>85</v>
      </c>
      <c r="C7" s="4" t="s">
        <v>91</v>
      </c>
      <c r="D7" s="4"/>
    </row>
    <row r="8" spans="1:4" ht="15" customHeight="1">
      <c r="A8" s="4" t="s">
        <v>84</v>
      </c>
      <c r="B8" s="4" t="s">
        <v>92</v>
      </c>
      <c r="C8" s="4" t="s">
        <v>93</v>
      </c>
      <c r="D8" s="4"/>
    </row>
    <row r="9" spans="1:4" ht="18" customHeight="1">
      <c r="A9" s="4" t="s">
        <v>84</v>
      </c>
      <c r="B9" s="4" t="s">
        <v>92</v>
      </c>
      <c r="C9" s="4" t="s">
        <v>94</v>
      </c>
      <c r="D9" s="4"/>
    </row>
    <row r="10" spans="1:4" ht="15" customHeight="1">
      <c r="A10" s="4" t="s">
        <v>84</v>
      </c>
      <c r="B10" s="4" t="s">
        <v>92</v>
      </c>
      <c r="C10" s="4" t="s">
        <v>95</v>
      </c>
      <c r="D10" s="4"/>
    </row>
    <row r="11" spans="1:4" ht="16.5" customHeight="1">
      <c r="A11" s="4" t="s">
        <v>84</v>
      </c>
      <c r="B11" s="4" t="s">
        <v>92</v>
      </c>
      <c r="C11" s="4" t="s">
        <v>96</v>
      </c>
      <c r="D11" s="4"/>
    </row>
    <row r="12" spans="1:4" ht="18" customHeight="1">
      <c r="A12" s="4" t="s">
        <v>84</v>
      </c>
      <c r="B12" s="4" t="s">
        <v>92</v>
      </c>
      <c r="C12" s="4" t="s">
        <v>97</v>
      </c>
      <c r="D12" s="4"/>
    </row>
    <row r="13" spans="1:4" ht="15" customHeight="1">
      <c r="A13" s="4" t="s">
        <v>84</v>
      </c>
      <c r="B13" s="4" t="s">
        <v>92</v>
      </c>
      <c r="C13" s="4" t="s">
        <v>98</v>
      </c>
      <c r="D13" s="4"/>
    </row>
    <row r="14" spans="1:4" ht="17.100000000000001" customHeight="1">
      <c r="A14" s="4" t="s">
        <v>84</v>
      </c>
      <c r="B14" s="4" t="s">
        <v>92</v>
      </c>
      <c r="C14" s="4" t="s">
        <v>99</v>
      </c>
      <c r="D14" s="4"/>
    </row>
    <row r="15" spans="1:4" ht="15.95" customHeight="1">
      <c r="A15" s="4" t="s">
        <v>100</v>
      </c>
      <c r="B15" s="4" t="s">
        <v>101</v>
      </c>
      <c r="C15" s="4" t="s">
        <v>102</v>
      </c>
      <c r="D15" s="4"/>
    </row>
    <row r="16" spans="1:4" ht="18" customHeight="1">
      <c r="A16" s="4" t="s">
        <v>100</v>
      </c>
      <c r="B16" s="4" t="s">
        <v>101</v>
      </c>
      <c r="C16" s="4" t="s">
        <v>103</v>
      </c>
      <c r="D16" s="4"/>
    </row>
    <row r="17" spans="1:4" ht="17.100000000000001" customHeight="1">
      <c r="A17" s="4" t="s">
        <v>100</v>
      </c>
      <c r="B17" s="4" t="s">
        <v>101</v>
      </c>
      <c r="C17" s="4" t="s">
        <v>104</v>
      </c>
      <c r="D17" s="4"/>
    </row>
    <row r="18" spans="1:4" ht="15.95" customHeight="1">
      <c r="A18" s="4" t="s">
        <v>100</v>
      </c>
      <c r="B18" s="4" t="s">
        <v>105</v>
      </c>
      <c r="C18" s="4" t="s">
        <v>106</v>
      </c>
      <c r="D18" s="4"/>
    </row>
    <row r="19" spans="1:4" ht="17.100000000000001" customHeight="1">
      <c r="A19" s="4" t="s">
        <v>100</v>
      </c>
      <c r="B19" s="4" t="s">
        <v>105</v>
      </c>
      <c r="C19" s="4" t="s">
        <v>107</v>
      </c>
      <c r="D19" s="4"/>
    </row>
    <row r="20" spans="1:4" ht="14.1" customHeight="1">
      <c r="A20" s="4" t="s">
        <v>100</v>
      </c>
      <c r="B20" s="4" t="s">
        <v>105</v>
      </c>
      <c r="C20" s="4" t="s">
        <v>108</v>
      </c>
      <c r="D20" s="4"/>
    </row>
    <row r="21" spans="1:4" ht="15.95" customHeight="1">
      <c r="A21" s="4" t="s">
        <v>100</v>
      </c>
      <c r="B21" s="4" t="s">
        <v>105</v>
      </c>
      <c r="C21" s="4" t="s">
        <v>109</v>
      </c>
      <c r="D21" s="4"/>
    </row>
    <row r="22" spans="1:4" ht="17.25" customHeight="1">
      <c r="A22" s="4" t="s">
        <v>110</v>
      </c>
      <c r="B22" s="4" t="s">
        <v>111</v>
      </c>
      <c r="C22" s="4" t="s">
        <v>112</v>
      </c>
      <c r="D22" s="4"/>
    </row>
    <row r="23" spans="1:4" ht="17.25" customHeight="1">
      <c r="A23" s="4" t="s">
        <v>110</v>
      </c>
      <c r="B23" s="4" t="s">
        <v>111</v>
      </c>
      <c r="C23" s="4" t="s">
        <v>113</v>
      </c>
      <c r="D23" s="4"/>
    </row>
    <row r="24" spans="1:4" ht="17.25" customHeight="1">
      <c r="A24" s="4" t="s">
        <v>110</v>
      </c>
      <c r="B24" s="4" t="s">
        <v>114</v>
      </c>
      <c r="C24" s="4" t="s">
        <v>115</v>
      </c>
      <c r="D24" s="4"/>
    </row>
    <row r="25" spans="1:4" ht="17.25" customHeight="1">
      <c r="A25" s="4" t="s">
        <v>110</v>
      </c>
      <c r="B25" s="4" t="s">
        <v>114</v>
      </c>
      <c r="C25" s="4" t="s">
        <v>116</v>
      </c>
      <c r="D25" s="4"/>
    </row>
    <row r="26" spans="1:4" ht="17.25" customHeight="1">
      <c r="A26" s="4" t="s">
        <v>110</v>
      </c>
      <c r="B26" s="4" t="s">
        <v>114</v>
      </c>
      <c r="C26" s="4" t="s">
        <v>117</v>
      </c>
      <c r="D26" s="4"/>
    </row>
    <row r="27" spans="1:4" ht="17.25" customHeight="1">
      <c r="A27" s="4" t="s">
        <v>110</v>
      </c>
      <c r="B27" s="4" t="s">
        <v>118</v>
      </c>
      <c r="C27" s="4" t="s">
        <v>119</v>
      </c>
      <c r="D27" s="4"/>
    </row>
    <row r="28" spans="1:4" ht="17.25" customHeight="1">
      <c r="A28" s="4" t="s">
        <v>110</v>
      </c>
      <c r="B28" s="4" t="s">
        <v>118</v>
      </c>
      <c r="C28" s="4" t="s">
        <v>120</v>
      </c>
      <c r="D28" s="4"/>
    </row>
    <row r="29" spans="1:4" ht="30.75">
      <c r="A29" s="4" t="s">
        <v>121</v>
      </c>
      <c r="B29" s="4" t="s">
        <v>122</v>
      </c>
      <c r="C29" s="4" t="s">
        <v>123</v>
      </c>
      <c r="D29" s="4"/>
    </row>
    <row r="30" spans="1:4">
      <c r="A30" s="4" t="s">
        <v>121</v>
      </c>
      <c r="B30" s="4" t="s">
        <v>122</v>
      </c>
      <c r="C30" s="4" t="s">
        <v>124</v>
      </c>
      <c r="D30" s="4"/>
    </row>
    <row r="31" spans="1:4">
      <c r="A31" s="4" t="s">
        <v>121</v>
      </c>
      <c r="B31" s="4" t="s">
        <v>125</v>
      </c>
      <c r="C31" s="4" t="s">
        <v>126</v>
      </c>
      <c r="D31" s="4"/>
    </row>
    <row r="32" spans="1:4">
      <c r="A32" s="4" t="s">
        <v>121</v>
      </c>
      <c r="B32" s="4" t="s">
        <v>125</v>
      </c>
      <c r="C32" s="4" t="s">
        <v>127</v>
      </c>
      <c r="D32" s="4"/>
    </row>
    <row r="33" spans="1:4">
      <c r="A33" s="4" t="s">
        <v>121</v>
      </c>
      <c r="B33" s="4" t="s">
        <v>128</v>
      </c>
      <c r="C33" s="4" t="s">
        <v>129</v>
      </c>
      <c r="D33" s="4"/>
    </row>
    <row r="34" spans="1:4" ht="30.75">
      <c r="A34" s="4" t="s">
        <v>130</v>
      </c>
      <c r="B34" s="4" t="s">
        <v>131</v>
      </c>
      <c r="C34" s="4" t="s">
        <v>132</v>
      </c>
      <c r="D34" s="4"/>
    </row>
    <row r="35" spans="1:4">
      <c r="A35" s="4" t="s">
        <v>130</v>
      </c>
      <c r="B35" s="4" t="s">
        <v>131</v>
      </c>
      <c r="C35" s="4" t="s">
        <v>133</v>
      </c>
      <c r="D35" s="4"/>
    </row>
    <row r="36" spans="1:4">
      <c r="A36" s="4" t="s">
        <v>130</v>
      </c>
      <c r="B36" s="4" t="s">
        <v>134</v>
      </c>
      <c r="C36" s="4" t="s">
        <v>135</v>
      </c>
      <c r="D36" s="4"/>
    </row>
    <row r="37" spans="1:4">
      <c r="A37" s="4" t="s">
        <v>130</v>
      </c>
      <c r="B37" s="4" t="s">
        <v>136</v>
      </c>
      <c r="C37" s="4" t="s">
        <v>137</v>
      </c>
      <c r="D37" s="4"/>
    </row>
  </sheetData>
  <pageMargins left="0.75" right="0.75" top="1" bottom="1" header="0.5" footer="0.5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8"/>
  <sheetViews>
    <sheetView workbookViewId="0">
      <pane ySplit="1" topLeftCell="A2" activePane="bottomLeft" state="frozen"/>
      <selection pane="bottomLeft" activeCell="I6" sqref="I6"/>
    </sheetView>
  </sheetViews>
  <sheetFormatPr defaultColWidth="8.85546875" defaultRowHeight="15"/>
  <cols>
    <col min="1" max="1" width="36" customWidth="1"/>
    <col min="2" max="2" width="12" customWidth="1"/>
    <col min="3" max="3" width="10" customWidth="1"/>
    <col min="4" max="4" width="16" customWidth="1"/>
    <col min="5" max="5" width="60" customWidth="1"/>
    <col min="6" max="6" width="16" customWidth="1"/>
  </cols>
  <sheetData>
    <row r="1" spans="1:6">
      <c r="A1" s="5" t="s">
        <v>9</v>
      </c>
      <c r="B1" s="5" t="s">
        <v>138</v>
      </c>
      <c r="C1" s="5" t="s">
        <v>14</v>
      </c>
      <c r="D1" s="5" t="s">
        <v>139</v>
      </c>
      <c r="E1" s="5" t="s">
        <v>140</v>
      </c>
      <c r="F1" s="5" t="s">
        <v>141</v>
      </c>
    </row>
    <row r="2" spans="1:6" ht="15.95">
      <c r="A2" s="4" t="s">
        <v>15</v>
      </c>
      <c r="B2" s="4"/>
      <c r="C2" s="4">
        <v>0.25</v>
      </c>
      <c r="D2" s="4">
        <f>B2*C2</f>
        <v>0</v>
      </c>
      <c r="E2" s="4"/>
      <c r="F2" s="4"/>
    </row>
    <row r="3" spans="1:6" ht="15.95">
      <c r="A3" s="4" t="s">
        <v>28</v>
      </c>
      <c r="B3" s="4"/>
      <c r="C3" s="4">
        <v>0.2</v>
      </c>
      <c r="D3" s="4">
        <f>B3*C3</f>
        <v>0</v>
      </c>
      <c r="E3" s="4"/>
      <c r="F3" s="4"/>
    </row>
    <row r="4" spans="1:6" ht="15.95">
      <c r="A4" s="4" t="s">
        <v>41</v>
      </c>
      <c r="B4" s="4"/>
      <c r="C4" s="4">
        <v>0.2</v>
      </c>
      <c r="D4" s="4">
        <f>B4*C4</f>
        <v>0</v>
      </c>
      <c r="E4" s="4"/>
      <c r="F4" s="4"/>
    </row>
    <row r="5" spans="1:6" ht="15.95">
      <c r="A5" s="4" t="s">
        <v>54</v>
      </c>
      <c r="B5" s="4"/>
      <c r="C5" s="4">
        <v>0.2</v>
      </c>
      <c r="D5" s="4">
        <f>B5*C5</f>
        <v>0</v>
      </c>
      <c r="E5" s="4"/>
      <c r="F5" s="4"/>
    </row>
    <row r="6" spans="1:6" ht="15.95">
      <c r="A6" s="4" t="s">
        <v>67</v>
      </c>
      <c r="B6" s="4"/>
      <c r="C6" s="4">
        <v>0.15</v>
      </c>
      <c r="D6" s="4">
        <f>B6*C6</f>
        <v>0</v>
      </c>
      <c r="E6" s="4"/>
      <c r="F6" s="4"/>
    </row>
    <row r="8" spans="1:6">
      <c r="A8" t="s">
        <v>142</v>
      </c>
      <c r="D8">
        <f>SUM(D2:D6)</f>
        <v>0</v>
      </c>
    </row>
  </sheetData>
  <dataValidations count="2">
    <dataValidation type="whole" allowBlank="1" promptTitle="Enter Score" prompt="Enter an integer 1–4." sqref="B2:B6" xr:uid="{00000000-0002-0000-0300-000000000000}">
      <formula1>1</formula1>
      <formula2>4</formula2>
    </dataValidation>
    <dataValidation type="list" allowBlank="1" sqref="F2:F6" xr:uid="{00000000-0002-0000-0300-000001000000}">
      <formula1>"Low,Medium,High"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8"/>
  <sheetViews>
    <sheetView workbookViewId="0"/>
  </sheetViews>
  <sheetFormatPr defaultColWidth="8.85546875" defaultRowHeight="15"/>
  <cols>
    <col min="1" max="1" width="32" customWidth="1"/>
    <col min="2" max="2" width="100" customWidth="1"/>
  </cols>
  <sheetData>
    <row r="1" spans="1:3" ht="21">
      <c r="A1" s="6" t="s">
        <v>143</v>
      </c>
    </row>
    <row r="3" spans="1:3">
      <c r="A3" t="s">
        <v>144</v>
      </c>
      <c r="B3" t="s">
        <v>145</v>
      </c>
    </row>
    <row r="5" spans="1:3">
      <c r="A5" s="5" t="s">
        <v>9</v>
      </c>
      <c r="B5" s="5" t="s">
        <v>146</v>
      </c>
      <c r="C5" s="5" t="s">
        <v>147</v>
      </c>
    </row>
    <row r="6" spans="1:3">
      <c r="A6" t="s">
        <v>15</v>
      </c>
      <c r="B6">
        <f>Scoring!B2</f>
        <v>0</v>
      </c>
      <c r="C6">
        <v>3</v>
      </c>
    </row>
    <row r="7" spans="1:3">
      <c r="A7" t="s">
        <v>28</v>
      </c>
      <c r="B7">
        <f>Scoring!B3</f>
        <v>0</v>
      </c>
      <c r="C7">
        <v>3</v>
      </c>
    </row>
    <row r="8" spans="1:3">
      <c r="A8" t="s">
        <v>41</v>
      </c>
      <c r="B8">
        <f>Scoring!B4</f>
        <v>0</v>
      </c>
      <c r="C8">
        <v>3</v>
      </c>
    </row>
    <row r="9" spans="1:3">
      <c r="A9" t="s">
        <v>54</v>
      </c>
      <c r="B9">
        <f>Scoring!B5</f>
        <v>0</v>
      </c>
      <c r="C9">
        <v>3</v>
      </c>
    </row>
    <row r="10" spans="1:3">
      <c r="A10" t="s">
        <v>67</v>
      </c>
      <c r="B10">
        <f>Scoring!B6</f>
        <v>0</v>
      </c>
      <c r="C10">
        <v>3</v>
      </c>
    </row>
    <row r="12" spans="1:3">
      <c r="A12" s="5" t="s">
        <v>148</v>
      </c>
    </row>
    <row r="13" spans="1:3">
      <c r="A13" s="5" t="s">
        <v>9</v>
      </c>
      <c r="B13" s="5" t="s">
        <v>149</v>
      </c>
    </row>
    <row r="14" spans="1:3">
      <c r="A14" t="s">
        <v>15</v>
      </c>
      <c r="B14">
        <f>C6-B6</f>
        <v>3</v>
      </c>
    </row>
    <row r="15" spans="1:3">
      <c r="A15" t="s">
        <v>28</v>
      </c>
      <c r="B15">
        <f>C7-B7</f>
        <v>3</v>
      </c>
    </row>
    <row r="16" spans="1:3">
      <c r="A16" t="s">
        <v>41</v>
      </c>
      <c r="B16">
        <f>C8-B8</f>
        <v>3</v>
      </c>
    </row>
    <row r="17" spans="1:2">
      <c r="A17" t="s">
        <v>54</v>
      </c>
      <c r="B17">
        <f>C9-B9</f>
        <v>3</v>
      </c>
    </row>
    <row r="18" spans="1:2">
      <c r="A18" t="s">
        <v>67</v>
      </c>
      <c r="B18">
        <f>C10-B10</f>
        <v>3</v>
      </c>
    </row>
  </sheetData>
  <conditionalFormatting sqref="B14:B18">
    <cfRule type="colorScale" priority="1">
      <colorScale>
        <cfvo type="num" val="-2"/>
        <cfvo type="num" val="0"/>
        <cfvo type="num" val="3"/>
        <color rgb="FF63BE7B"/>
        <color rgb="FFFFEB84"/>
        <color rgb="FFF8696B"/>
      </colorScale>
    </cfRule>
  </conditionalFormatting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9"/>
  <sheetViews>
    <sheetView workbookViewId="0"/>
  </sheetViews>
  <sheetFormatPr defaultColWidth="8.85546875" defaultRowHeight="15"/>
  <cols>
    <col min="1" max="1" width="24" customWidth="1"/>
    <col min="2" max="2" width="60" customWidth="1"/>
    <col min="3" max="3" width="40" customWidth="1"/>
    <col min="4" max="4" width="48" customWidth="1"/>
    <col min="5" max="5" width="20" customWidth="1"/>
    <col min="6" max="6" width="16" customWidth="1"/>
  </cols>
  <sheetData>
    <row r="1" spans="1:6">
      <c r="A1" s="5" t="s">
        <v>150</v>
      </c>
      <c r="B1" s="5" t="s">
        <v>151</v>
      </c>
      <c r="C1" s="5" t="s">
        <v>152</v>
      </c>
      <c r="D1" s="5" t="s">
        <v>153</v>
      </c>
      <c r="E1" s="5" t="s">
        <v>154</v>
      </c>
      <c r="F1" s="5" t="s">
        <v>155</v>
      </c>
    </row>
    <row r="2" spans="1:6">
      <c r="A2" s="4"/>
      <c r="B2" s="4"/>
      <c r="C2" s="4"/>
      <c r="D2" s="4"/>
      <c r="E2" s="4"/>
      <c r="F2" s="4"/>
    </row>
    <row r="3" spans="1:6">
      <c r="A3" s="4"/>
      <c r="B3" s="4"/>
      <c r="C3" s="4"/>
      <c r="D3" s="4"/>
      <c r="E3" s="4"/>
      <c r="F3" s="4"/>
    </row>
    <row r="4" spans="1:6">
      <c r="A4" s="4"/>
      <c r="B4" s="4"/>
      <c r="C4" s="4"/>
      <c r="D4" s="4"/>
      <c r="E4" s="4"/>
      <c r="F4" s="4"/>
    </row>
    <row r="5" spans="1:6">
      <c r="A5" s="4"/>
      <c r="B5" s="4"/>
      <c r="C5" s="4"/>
      <c r="D5" s="4"/>
      <c r="E5" s="4"/>
      <c r="F5" s="4"/>
    </row>
    <row r="6" spans="1:6">
      <c r="A6" s="4"/>
      <c r="B6" s="4"/>
      <c r="C6" s="4"/>
      <c r="D6" s="4"/>
      <c r="E6" s="4"/>
      <c r="F6" s="4"/>
    </row>
    <row r="7" spans="1:6">
      <c r="A7" s="4"/>
      <c r="B7" s="4"/>
      <c r="C7" s="4"/>
      <c r="D7" s="4"/>
      <c r="E7" s="4"/>
      <c r="F7" s="4"/>
    </row>
    <row r="8" spans="1:6">
      <c r="A8" s="4"/>
      <c r="B8" s="4"/>
      <c r="C8" s="4"/>
      <c r="D8" s="4"/>
      <c r="E8" s="4"/>
      <c r="F8" s="4"/>
    </row>
    <row r="9" spans="1:6">
      <c r="A9" s="4"/>
      <c r="B9" s="4"/>
      <c r="C9" s="4"/>
      <c r="D9" s="4"/>
      <c r="E9" s="4"/>
      <c r="F9" s="4"/>
    </row>
    <row r="10" spans="1:6">
      <c r="A10" s="4"/>
      <c r="B10" s="4"/>
      <c r="C10" s="4"/>
      <c r="D10" s="4"/>
      <c r="E10" s="4"/>
      <c r="F10" s="4"/>
    </row>
    <row r="11" spans="1:6">
      <c r="A11" s="4"/>
      <c r="B11" s="4"/>
      <c r="C11" s="4"/>
      <c r="D11" s="4"/>
      <c r="E11" s="4"/>
      <c r="F11" s="4"/>
    </row>
    <row r="12" spans="1:6">
      <c r="A12" s="4"/>
      <c r="B12" s="4"/>
      <c r="C12" s="4"/>
      <c r="D12" s="4"/>
      <c r="E12" s="4"/>
      <c r="F12" s="4"/>
    </row>
    <row r="13" spans="1:6">
      <c r="A13" s="4"/>
      <c r="B13" s="4"/>
      <c r="C13" s="4"/>
      <c r="D13" s="4"/>
      <c r="E13" s="4"/>
      <c r="F13" s="4"/>
    </row>
    <row r="14" spans="1:6">
      <c r="A14" s="4"/>
      <c r="B14" s="4"/>
      <c r="C14" s="4"/>
      <c r="D14" s="4"/>
      <c r="E14" s="4"/>
      <c r="F14" s="4"/>
    </row>
    <row r="15" spans="1:6">
      <c r="A15" s="4"/>
      <c r="B15" s="4"/>
      <c r="C15" s="4"/>
      <c r="D15" s="4"/>
      <c r="E15" s="4"/>
      <c r="F15" s="4"/>
    </row>
    <row r="16" spans="1:6">
      <c r="A16" s="4"/>
      <c r="B16" s="4"/>
      <c r="C16" s="4"/>
      <c r="D16" s="4"/>
      <c r="E16" s="4"/>
      <c r="F16" s="4"/>
    </row>
    <row r="17" spans="1:6">
      <c r="A17" s="4"/>
      <c r="B17" s="4"/>
      <c r="C17" s="4"/>
      <c r="D17" s="4"/>
      <c r="E17" s="4"/>
      <c r="F17" s="4"/>
    </row>
    <row r="18" spans="1:6">
      <c r="A18" s="4"/>
      <c r="B18" s="4"/>
      <c r="C18" s="4"/>
      <c r="D18" s="4"/>
      <c r="E18" s="4"/>
      <c r="F18" s="4"/>
    </row>
    <row r="19" spans="1:6">
      <c r="A19" s="4"/>
      <c r="B19" s="4"/>
      <c r="C19" s="4"/>
      <c r="D19" s="4"/>
      <c r="E19" s="4"/>
      <c r="F19" s="4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7"/>
  <sheetViews>
    <sheetView workbookViewId="0"/>
  </sheetViews>
  <sheetFormatPr defaultColWidth="8.85546875" defaultRowHeight="15"/>
  <cols>
    <col min="1" max="1" width="20" customWidth="1"/>
    <col min="2" max="3" width="50" customWidth="1"/>
    <col min="4" max="4" width="40" customWidth="1"/>
    <col min="5" max="5" width="50" customWidth="1"/>
  </cols>
  <sheetData>
    <row r="1" spans="1:5">
      <c r="A1" s="5" t="s">
        <v>156</v>
      </c>
      <c r="B1" s="5" t="s">
        <v>157</v>
      </c>
      <c r="C1" s="5" t="s">
        <v>158</v>
      </c>
      <c r="D1" s="5" t="s">
        <v>159</v>
      </c>
      <c r="E1" s="5" t="s">
        <v>160</v>
      </c>
    </row>
    <row r="2" spans="1:5">
      <c r="A2" s="4"/>
      <c r="B2" s="4"/>
      <c r="C2" s="4"/>
      <c r="D2" s="4"/>
      <c r="E2" s="4"/>
    </row>
    <row r="3" spans="1:5">
      <c r="A3" s="4"/>
      <c r="B3" s="4"/>
      <c r="C3" s="4"/>
      <c r="D3" s="4"/>
      <c r="E3" s="4"/>
    </row>
    <row r="4" spans="1:5">
      <c r="A4" s="4"/>
      <c r="B4" s="4"/>
      <c r="C4" s="4"/>
      <c r="D4" s="4"/>
      <c r="E4" s="4"/>
    </row>
    <row r="5" spans="1:5">
      <c r="A5" s="4"/>
      <c r="B5" s="4"/>
      <c r="C5" s="4"/>
      <c r="D5" s="4"/>
      <c r="E5" s="4"/>
    </row>
    <row r="6" spans="1:5">
      <c r="A6" s="4"/>
      <c r="B6" s="4"/>
      <c r="C6" s="4"/>
      <c r="D6" s="4"/>
      <c r="E6" s="4"/>
    </row>
    <row r="7" spans="1:5">
      <c r="A7" s="4"/>
      <c r="B7" s="4"/>
      <c r="C7" s="4"/>
      <c r="D7" s="4"/>
      <c r="E7" s="4"/>
    </row>
    <row r="8" spans="1:5">
      <c r="A8" s="4"/>
      <c r="B8" s="4"/>
      <c r="C8" s="4"/>
      <c r="D8" s="4"/>
      <c r="E8" s="4"/>
    </row>
    <row r="9" spans="1:5">
      <c r="A9" s="4"/>
      <c r="B9" s="4"/>
      <c r="C9" s="4"/>
      <c r="D9" s="4"/>
      <c r="E9" s="4"/>
    </row>
    <row r="10" spans="1:5">
      <c r="A10" s="4"/>
      <c r="B10" s="4"/>
      <c r="C10" s="4"/>
      <c r="D10" s="4"/>
      <c r="E10" s="4"/>
    </row>
    <row r="11" spans="1:5">
      <c r="A11" s="4"/>
      <c r="B11" s="4"/>
      <c r="C11" s="4"/>
      <c r="D11" s="4"/>
      <c r="E11" s="4"/>
    </row>
    <row r="12" spans="1:5">
      <c r="A12" s="4"/>
      <c r="B12" s="4"/>
      <c r="C12" s="4"/>
      <c r="D12" s="4"/>
      <c r="E12" s="4"/>
    </row>
    <row r="13" spans="1:5">
      <c r="A13" s="4"/>
      <c r="B13" s="4"/>
      <c r="C13" s="4"/>
      <c r="D13" s="4"/>
      <c r="E13" s="4"/>
    </row>
    <row r="14" spans="1:5">
      <c r="A14" s="4"/>
      <c r="B14" s="4"/>
      <c r="C14" s="4"/>
      <c r="D14" s="4"/>
      <c r="E14" s="4"/>
    </row>
    <row r="15" spans="1:5">
      <c r="A15" s="4"/>
      <c r="B15" s="4"/>
      <c r="C15" s="4"/>
      <c r="D15" s="4"/>
      <c r="E15" s="4"/>
    </row>
    <row r="16" spans="1:5">
      <c r="A16" s="4"/>
      <c r="B16" s="4"/>
      <c r="C16" s="4"/>
      <c r="D16" s="4"/>
      <c r="E16" s="4"/>
    </row>
    <row r="17" spans="1:5">
      <c r="A17" s="4"/>
      <c r="B17" s="4"/>
      <c r="C17" s="4"/>
      <c r="D17" s="4"/>
      <c r="E17" s="4"/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D6F6220948AD144A28A97B8C519326B" ma:contentTypeVersion="12" ma:contentTypeDescription="Create a new document." ma:contentTypeScope="" ma:versionID="e585c97449d7e95c562697336eec52ce">
  <xsd:schema xmlns:xsd="http://www.w3.org/2001/XMLSchema" xmlns:xs="http://www.w3.org/2001/XMLSchema" xmlns:p="http://schemas.microsoft.com/office/2006/metadata/properties" xmlns:ns2="3279c559-5fe0-4eba-9ab1-d28baa2e0bfe" xmlns:ns3="5334e0a5-33c9-4c11-9879-8be33c17fe03" targetNamespace="http://schemas.microsoft.com/office/2006/metadata/properties" ma:root="true" ma:fieldsID="152fdda0b3a581a63b19168c47e1f91b" ns2:_="" ns3:_="">
    <xsd:import namespace="3279c559-5fe0-4eba-9ab1-d28baa2e0bfe"/>
    <xsd:import namespace="5334e0a5-33c9-4c11-9879-8be33c17fe0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Info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79c559-5fe0-4eba-9ab1-d28baa2e0bf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Info" ma:index="15" nillable="true" ma:displayName="Info" ma:description="Info about folder" ma:format="Dropdown" ma:internalName="Info">
      <xsd:simpleType>
        <xsd:restriction base="dms:Text">
          <xsd:maxLength value="255"/>
        </xsd:restriction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f1cddc-130d-4d10-b7a7-e66a4059ea9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34e0a5-33c9-4c11-9879-8be33c17fe03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e1e1f8cc-7dd4-4603-b59d-589d411bcfa7}" ma:internalName="TaxCatchAll" ma:showField="CatchAllData" ma:web="5334e0a5-33c9-4c11-9879-8be33c17fe0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Info xmlns="3279c559-5fe0-4eba-9ab1-d28baa2e0bfe" xsi:nil="true"/>
    <lcf76f155ced4ddcb4097134ff3c332f xmlns="3279c559-5fe0-4eba-9ab1-d28baa2e0bfe">
      <Terms xmlns="http://schemas.microsoft.com/office/infopath/2007/PartnerControls"/>
    </lcf76f155ced4ddcb4097134ff3c332f>
    <TaxCatchAll xmlns="5334e0a5-33c9-4c11-9879-8be33c17fe03" xsi:nil="true"/>
  </documentManagement>
</p:properties>
</file>

<file path=customXml/itemProps1.xml><?xml version="1.0" encoding="utf-8"?>
<ds:datastoreItem xmlns:ds="http://schemas.openxmlformats.org/officeDocument/2006/customXml" ds:itemID="{5A34D8F8-F525-41C2-8869-4A1A19055A1D}"/>
</file>

<file path=customXml/itemProps2.xml><?xml version="1.0" encoding="utf-8"?>
<ds:datastoreItem xmlns:ds="http://schemas.openxmlformats.org/officeDocument/2006/customXml" ds:itemID="{CB6F6696-CB99-4F12-88F7-373C1BB52252}"/>
</file>

<file path=customXml/itemProps3.xml><?xml version="1.0" encoding="utf-8"?>
<ds:datastoreItem xmlns:ds="http://schemas.openxmlformats.org/officeDocument/2006/customXml" ds:itemID="{4D262886-E5F7-4C78-B0A1-BB622CFA965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Srivaths Mannar</cp:lastModifiedBy>
  <cp:revision/>
  <dcterms:created xsi:type="dcterms:W3CDTF">2026-03-02T15:56:07Z</dcterms:created>
  <dcterms:modified xsi:type="dcterms:W3CDTF">2026-03-26T09:24:00Z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0x010100BD6F6220948AD144A28A97B8C519326B</vt:lpwstr>
  </property>
  <property fmtid="{D5CDD505-2E9C-101B-9397-08002B2CF9AE}" pid="3" name="MediaServiceImageTags">
    <vt:lpwstr/>
  </property>
</Properties>
</file>